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32e673dcf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euMuon" sheetId="1" r:id="R3638f50922484809"/>
    <x:sheet xmlns:r="http://schemas.openxmlformats.org/officeDocument/2006/relationships" name="DanhMucSach" sheetId="2" r:id="R592ed00192c2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5">
    <x:font>
      <x:sz val="11"/>
      <x:name val="Carlito"/>
    </x:font>
    <x:font>
      <x:sz val="11"/>
      <x:color rgb="FF172B3A"/>
      <x:name val="Arial"/>
    </x:font>
    <x:font>
      <x:b/>
      <x:sz val="11"/>
      <x:color rgb="FFFFFFFF"/>
      <x:name val="Arial"/>
    </x:font>
    <x:font>
      <x:b/>
      <x:sz val="11"/>
      <x:color rgb="FF172B3A"/>
      <x:name val="Arial"/>
    </x:font>
    <x:font>
      <x:sz val="10"/>
      <x:color rgb="FF172B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56"/>
      </x:patternFill>
    </x:fill>
    <x:fill>
      <x:patternFill patternType="solid">
        <x:fgColor rgb="FFEDF4FA"/>
      </x:patternFill>
    </x:fill>
    <x:fill>
      <x:patternFill patternType="solid">
        <x:fgColor rgb="FFE5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ill>
        <x:patternFill patternType="solid">
          <x:bgColor rgb="FFFFF0CC"/>
        </x:patternFill>
      </x:fill>
    </x:dxf>
    <x:dxf>
      <x:font>
        <x:b/>
        <x:color rgb="FFA52D28"/>
      </x:font>
      <x:fill>
        <x:patternFill patternType="solid">
          <x:bgColor rgb="FFFCE6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190cf13324ed1" /><Relationship Type="http://schemas.openxmlformats.org/officeDocument/2006/relationships/theme" Target="/xl/theme/theme1.xml" Id="R430ba2fa76594b62" /><Relationship Type="http://schemas.openxmlformats.org/officeDocument/2006/relationships/sharedStrings" Target="/xl/sharedStrings.xml" Id="R6fba1c4a5a7e476a" /><Relationship Type="http://schemas.openxmlformats.org/officeDocument/2006/relationships/worksheet" Target="/xl/worksheets/sheet1.xml" Id="R3638f50922484809" /><Relationship Type="http://schemas.openxmlformats.org/officeDocument/2006/relationships/worksheet" Target="/xl/worksheets/sheet2.xml" Id="R592ed00192c249ba" /></Relationships>
</file>

<file path=xl/tables/table1.xml><?xml version="1.0" encoding="utf-8"?>
<x:table xmlns:x="http://schemas.openxmlformats.org/spreadsheetml/2006/main" id="1" name="PhieuMuonTable" displayName="PhieuMuonTable" ref="A1:F5" headerRowCount="1" totalsRowCount="0" totalsRowShown="0">
  <x:autoFilter ref="A1:F5"/>
  <x:tableColumns count="6">
    <x:tableColumn id="1" name="MSSV"/>
    <x:tableColumn id="2" name="Họ Tên"/>
    <x:tableColumn id="3" name="Mã Sách"/>
    <x:tableColumn id="4" name="Ngày Mượn"/>
    <x:tableColumn id="5" name="Tình Trạng"/>
    <x:tableColumn id="6" name="Tên Sá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nhMucSachTable" displayName="DanhMucSachTable" ref="A1:C4" headerRowCount="1" totalsRowCount="0" totalsRowShown="0">
  <x:tableColumns count="3">
    <x:tableColumn id="1" name="Mã Sách"/>
    <x:tableColumn id="2" name="Tên Sách"/>
    <x:tableColumn id="3" name="Thể Lo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a6353aa9a946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7704b7f409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9" hidden="0" customWidth="1"/>
    <x:col min="3" max="3" width="24" hidden="0" customWidth="1"/>
    <x:col min="4" max="4" width="18" hidden="0" customWidth="1"/>
    <x:col min="5" max="5" width="23" hidden="0" customWidth="1"/>
    <x:col min="6" max="6" width="32" hidden="0" customWidth="1"/>
  </x:cols>
  <x:sheetData>
    <x:row r="1" ht="32" customHeight="1">
      <x:c r="A1" s="5" t="str">
        <x:v>MSSV</x:v>
      </x:c>
      <x:c r="B1" s="5" t="str">
        <x:v>Họ Tên</x:v>
      </x:c>
      <x:c r="C1" s="5" t="str">
        <x:v>Mã Sách</x:v>
      </x:c>
      <x:c r="D1" s="5" t="str">
        <x:v>Ngày Mượn</x:v>
      </x:c>
      <x:c r="E1" s="5" t="str">
        <x:v>Tình Trạng</x:v>
      </x:c>
      <x:c r="F1" s="5" t="str">
        <x:v>Tên Sách</x:v>
      </x:c>
    </x:row>
    <x:row r="2" ht="24" customHeight="1">
      <x:c r="A2" s="7" t="str">
        <x:v>SV001</x:v>
      </x:c>
      <x:c r="B2" s="7" t="str">
        <x:v>Nguyễn Văn An</x:v>
      </x:c>
      <x:c r="C2" s="7" t="str">
        <x:v>S001</x:v>
      </x:c>
      <x:c r="D2" s="8" t="d">
        <x:v>2026-10-01T00:00:00.000Z</x:v>
      </x:c>
      <x:c r="E2" s="2" t="str">
        <x:v>Đang mượn</x:v>
      </x:c>
      <x:c r="F2" s="9" t="str">
        <x:f>IFERROR(VLOOKUP(C2,'DanhMucSach'!$A$2:$C$4,2,FALSE),"Không tìm thấy sách")</x:f>
        <x:v>Lập Trình C Căn Bản</x:v>
      </x:c>
    </x:row>
    <x:row r="3" ht="24" customHeight="1">
      <x:c r="A3" s="7" t="str">
        <x:v>SV002</x:v>
      </x:c>
      <x:c r="B3" s="7" t="str">
        <x:v>Trần Thị Bình</x:v>
      </x:c>
      <x:c r="C3" s="7" t="str">
        <x:v>S002</x:v>
      </x:c>
      <x:c r="D3" s="8" t="d">
        <x:v>2026-10-03T00:00:00.000Z</x:v>
      </x:c>
      <x:c r="E3" s="2" t="str">
        <x:v>Quá hạn</x:v>
      </x:c>
      <x:c r="F3" s="9" t="str">
        <x:f>IFERROR(VLOOKUP(C3,'DanhMucSach'!$A$2:$C$4,2,FALSE),"Không tìm thấy sách")</x:f>
        <x:v>Giải Tích 1</x:v>
      </x:c>
    </x:row>
    <x:row r="4" ht="24" customHeight="1">
      <x:c r="A4" s="7" t="str">
        <x:v>SV003</x:v>
      </x:c>
      <x:c r="B4" s="7" t="str">
        <x:v>Lê Văn Cường</x:v>
      </x:c>
      <x:c r="C4" s="7" t="str">
        <x:v>S003</x:v>
      </x:c>
      <x:c r="D4" s="8" t="d">
        <x:v>2026-10-10T00:00:00.000Z</x:v>
      </x:c>
      <x:c r="E4" s="2" t="str">
        <x:v>Đã trả</x:v>
      </x:c>
      <x:c r="F4" s="9" t="str">
        <x:f>IFERROR(VLOOKUP(C4,'DanhMucSach'!$A$2:$C$4,2,FALSE),"Không tìm thấy sách")</x:f>
        <x:v>Kỹ Năng Mềm</x:v>
      </x:c>
    </x:row>
    <x:row r="5" ht="24" customHeight="1">
      <x:c r="A5" s="7" t="str">
        <x:v>SV004</x:v>
      </x:c>
      <x:c r="B5" s="7" t="str">
        <x:v>Phạm Thu Hà</x:v>
      </x:c>
      <x:c r="C5" s="7" t="str">
        <x:v>S099</x:v>
      </x:c>
      <x:c r="D5" s="8" t="d">
        <x:v>2026-10-12T00:00:00.000Z</x:v>
      </x:c>
      <x:c r="E5" s="2" t="str">
        <x:v>Đang mượn</x:v>
      </x:c>
      <x:c r="F5" s="9" t="str">
        <x:f>IFERROR(VLOOKUP(C5,'DanhMucSach'!$A$2:$C$4,2,FALSE),"Không tìm thấy sách")</x:f>
        <x:v>Không tìm thấy sách</x:v>
      </x:c>
    </x:row>
    <x:row r="6" ht="24" customHeight="1">
      <x:c r="A6" s="2"/>
      <x:c r="B6" s="2"/>
      <x:c r="C6" s="2"/>
      <x:c r="D6" s="2"/>
      <x:c r="E6" s="2"/>
      <x:c r="F6" s="2"/>
    </x:row>
    <x:row r="7" ht="24" customHeight="1">
      <x:c r="A7" s="2"/>
      <x:c r="B7" s="2"/>
      <x:c r="C7" s="2"/>
      <x:c r="D7" s="2"/>
      <x:c r="E7" s="2"/>
      <x:c r="F7" s="2"/>
    </x:row>
    <x:row r="8" ht="24" customHeight="1">
      <x:c r="A8" s="13" t="str">
        <x:v>Tổng cộng</x:v>
      </x:c>
      <x:c r="B8" s="13" t="n">
        <x:f>COUNTA(A2:A5)</x:f>
        <x:v>4</x:v>
      </x:c>
      <x:c r="C8" s="2"/>
      <x:c r="D8" s="2" t="str">
        <x:v>Mã tra cứu được</x:v>
      </x:c>
      <x:c r="E8" s="2"/>
      <x:c r="F8" s="2" t="n">
        <x:f>COUNTIFS(F2:F5,"&lt;&gt;Không tìm thấy sách",C2:C5,"&lt;&gt;")</x:f>
        <x:v>3</x:v>
      </x:c>
    </x:row>
    <x:row r="9" ht="24" customHeight="1">
      <x:c r="A9" s="2"/>
      <x:c r="B9" s="2"/>
      <x:c r="C9" s="2"/>
      <x:c r="D9" s="2" t="str">
        <x:v>Chưa có danh mục</x:v>
      </x:c>
      <x:c r="E9" s="2"/>
      <x:c r="F9" s="2" t="n">
        <x:f>COUNTIFS(F2:F5,"Không tìm thấy sách")</x:f>
        <x:v>1</x:v>
      </x:c>
    </x:row>
    <x:row r="10" ht="24" customHeight="1">
      <x:c r="A10" s="12" t="str">
        <x:v>Tình trạng</x:v>
      </x:c>
      <x:c r="B10" s="12" t="str">
        <x:v>Số phiếu</x:v>
      </x:c>
      <x:c r="C10" s="2"/>
      <x:c r="D10" s="2" t="str">
        <x:v>Tỷ lệ khớp</x:v>
      </x:c>
      <x:c r="E10" s="2"/>
      <x:c r="F10" s="10" t="n">
        <x:f>F8/$B$8</x:f>
        <x:v>0.75</x:v>
      </x:c>
    </x:row>
    <x:row r="11" ht="24" customHeight="1">
      <x:c r="A11" s="2" t="str">
        <x:v>Đang mượn</x:v>
      </x:c>
      <x:c r="B11" s="2" t="n">
        <x:f>COUNTIFS($E$2:$E$5,A11)</x:f>
        <x:v>2</x:v>
      </x:c>
      <x:c r="C11" s="2"/>
      <x:c r="D11" s="2"/>
      <x:c r="E11" s="2"/>
      <x:c r="F11" s="2"/>
    </x:row>
    <x:row r="12" ht="24" customHeight="1">
      <x:c r="A12" s="2" t="str">
        <x:v>Quá hạn</x:v>
      </x:c>
      <x:c r="B12" s="2" t="n">
        <x:f>COUNTIFS($E$2:$E$5,A12)</x:f>
        <x:v>1</x:v>
      </x:c>
      <x:c r="C12" s="2"/>
      <x:c r="D12" s="2"/>
      <x:c r="E12" s="2"/>
      <x:c r="F12" s="2"/>
    </x:row>
    <x:row r="13" ht="24" customHeight="1">
      <x:c r="A13" s="2" t="str">
        <x:v>Đã trả</x:v>
      </x:c>
      <x:c r="B13" s="2" t="n">
        <x:f>COUNTIFS($E$2:$E$5,A13)</x:f>
        <x:v>1</x:v>
      </x:c>
      <x:c r="C13" s="2"/>
      <x:c r="D13" s="2"/>
      <x:c r="E13" s="2"/>
      <x:c r="F13" s="2"/>
    </x:row>
    <x:row r="14" ht="24" customHeight="1">
      <x:c r="A14" s="2"/>
      <x:c r="B14" s="2"/>
      <x:c r="C14" s="2"/>
      <x:c r="D14" s="2"/>
      <x:c r="E14" s="2"/>
      <x:c r="F14" s="2"/>
    </x:row>
    <x:row r="15" ht="24" customHeight="1">
      <x:c r="A15" s="2"/>
      <x:c r="B15" s="2"/>
      <x:c r="C15" s="2"/>
      <x:c r="D15" s="2"/>
      <x:c r="E15" s="2"/>
      <x:c r="F15" s="2"/>
    </x:row>
    <x:row r="16" ht="32" customHeight="1">
      <x:c r="A16" s="16" t="str">
        <x:v>Lỗi</x:v>
      </x:c>
      <x:c r="B16" s="16" t="str">
        <x:v>Vị trí ban đầu</x:v>
      </x:c>
      <x:c r="C16" s="16" t="str">
        <x:v>Quy tắc vi phạm</x:v>
      </x:c>
      <x:c r="D16" s="2"/>
      <x:c r="E16" s="2"/>
      <x:c r="F16" s="2"/>
    </x:row>
    <x:row r="17" ht="32" customHeight="1">
      <x:c r="A17" s="14" t="str">
        <x:v>Gộp ô</x:v>
      </x:c>
      <x:c r="B17" s="14" t="str">
        <x:v>Hàng 1, A1:E1</x:v>
      </x:c>
      <x:c r="C17" s="14" t="str">
        <x:v>Không merge ô</x:v>
      </x:c>
      <x:c r="D17" s="2"/>
      <x:c r="E17" s="2"/>
      <x:c r="F17" s="2"/>
    </x:row>
    <x:row r="18" ht="32" customHeight="1">
      <x:c r="A18" s="14" t="str">
        <x:v>Hàng trống</x:v>
      </x:c>
      <x:c r="B18" s="14" t="str">
        <x:v>Hàng 5</x:v>
      </x:c>
      <x:c r="C18" s="14" t="str">
        <x:v>Không hàng trống</x:v>
      </x:c>
      <x:c r="D18" s="2"/>
      <x:c r="E18" s="2"/>
      <x:c r="F18" s="2"/>
    </x:row>
    <x:row r="19" ht="32" customHeight="1">
      <x:c r="A19" s="14" t="str">
        <x:v>Dòng tổng</x:v>
      </x:c>
      <x:c r="B19" s="14" t="str">
        <x:v>Hàng 6</x:v>
      </x:c>
      <x:c r="C19" s="14" t="str">
        <x:v>Không tổng trong dữ liệu</x:v>
      </x:c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24" customHeight="1">
      <x:c r="A21" s="17" t="str">
        <x:v>NĂM QUY TẮC TỔ CHỨC DỮ LIỆU</x:v>
      </x:c>
      <x:c r="B21" s="18"/>
      <x:c r="C21" s="18"/>
      <x:c r="D21" s="18"/>
      <x:c r="E21" s="18"/>
      <x:c r="F21" s="18"/>
    </x:row>
    <x:row r="22" ht="24" customHeight="1">
      <x:c r="A22" s="18" t="str">
        <x:v>1. Mỗi hàng là một record; mỗi cột là một field, có kiểu dữ liệu thống nhất.</x:v>
      </x:c>
      <x:c r="B22" s="18"/>
      <x:c r="C22" s="18"/>
      <x:c r="D22" s="18"/>
      <x:c r="E22" s="18"/>
      <x:c r="F22" s="18"/>
    </x:row>
    <x:row r="23" ht="24" customHeight="1">
      <x:c r="A23" s="18" t="str">
        <x:v>2. Dùng một hàng tiêu đề rõ ràng, mỗi cột có một tên riêng.</x:v>
      </x:c>
      <x:c r="B23" s="18"/>
      <x:c r="C23" s="18"/>
      <x:c r="D23" s="18"/>
      <x:c r="E23" s="18"/>
      <x:c r="F23" s="18"/>
    </x:row>
    <x:row r="24" ht="24" customHeight="1">
      <x:c r="A24" s="18" t="str">
        <x:v>3. Không merge ô trong vùng dữ liệu.</x:v>
      </x:c>
      <x:c r="B24" s="18"/>
      <x:c r="C24" s="18"/>
      <x:c r="D24" s="18"/>
      <x:c r="E24" s="18"/>
      <x:c r="F24" s="18"/>
    </x:row>
    <x:row r="25" ht="24" customHeight="1">
      <x:c r="A25" s="18" t="str">
        <x:v>4. Không để hàng hoặc cột trống ngắt quãng vùng dữ liệu.</x:v>
      </x:c>
      <x:c r="B25" s="18"/>
      <x:c r="C25" s="18"/>
      <x:c r="D25" s="18"/>
      <x:c r="E25" s="18"/>
      <x:c r="F25" s="18"/>
    </x:row>
    <x:row r="26" ht="24" customHeight="1">
      <x:c r="A26" s="18" t="str">
        <x:v>5. Đặt dòng tổng cộng bên ngoài vùng dữ liệu.</x:v>
      </x:c>
      <x:c r="B26" s="18"/>
      <x:c r="C26" s="18"/>
      <x:c r="D26" s="18"/>
      <x:c r="E26" s="18"/>
      <x:c r="F26" s="18"/>
    </x:row>
    <x:row r="27" ht="24" customHeight="1">
      <x:c r="A27" s="18"/>
      <x:c r="B27" s="18"/>
      <x:c r="C27" s="18"/>
      <x:c r="D27" s="18"/>
      <x:c r="E27" s="18"/>
      <x:c r="F27" s="18"/>
    </x:row>
    <x:row r="28" ht="24" customHeight="1">
      <x:c r="A28" s="18" t="str">
        <x:v>Record</x:v>
      </x:c>
      <x:c r="B28" s="18" t="str">
        <x:v>Ví dụ: hàng 2 là phiếu của SV001, Nguyễn Văn An, mã S001, ngày 01/10/2026, đang mượn.</x:v>
      </x:c>
      <x:c r="C28" s="18"/>
      <x:c r="D28" s="18"/>
      <x:c r="E28" s="18"/>
      <x:c r="F28" s="18"/>
    </x:row>
    <x:row r="29" ht="24" customHeight="1">
      <x:c r="A29" s="18" t="str">
        <x:v>Field</x:v>
      </x:c>
      <x:c r="B29" s="18" t="str">
        <x:v>Ví dụ: MSSV, Mã Sách, Ngày Mượn và Tình Trạng là các trường dữ liệu.</x:v>
      </x:c>
      <x:c r="C29" s="18"/>
      <x:c r="D29" s="18"/>
      <x:c r="E29" s="18"/>
      <x:c r="F29" s="18"/>
    </x:row>
    <x:row r="30" ht="24" customHeight="1">
      <x:c r="A30" s="18"/>
      <x:c r="B30" s="18"/>
      <x:c r="C30" s="18"/>
      <x:c r="D30" s="18"/>
      <x:c r="E30" s="18"/>
      <x:c r="F30" s="18"/>
    </x:row>
    <x:row r="31" ht="24" customHeight="1">
      <x:c r="A31" s="18" t="str">
        <x:v>AutoFilter</x:v>
      </x:c>
      <x:c r="B31" s="18" t="str">
        <x:v>File đã bật bộ lọc. Nếu chưa có: chọn A1:F5 và nhấn Ctrl+Shift+L.</x:v>
      </x:c>
      <x:c r="C31" s="18"/>
      <x:c r="D31" s="18"/>
      <x:c r="E31" s="18"/>
      <x:c r="F31" s="18"/>
    </x:row>
    <x:row r="32" ht="24" customHeight="1">
      <x:c r="A32" s="18" t="str">
        <x:v>Thao tác lọc</x:v>
      </x:c>
      <x:c r="B32" s="18" t="str">
        <x:v>Mở mũi tên cột Tình Trạng → chỉ chọn Quá hạn → OK. Bỏ lọc để xem đủ 4 phiếu.</x:v>
      </x:c>
      <x:c r="C32" s="18"/>
      <x:c r="D32" s="18"/>
      <x:c r="E32" s="18"/>
      <x:c r="F32" s="18"/>
    </x:row>
    <x:row r="33" ht="24" customHeight="1">
      <x:c r="A33" s="18" t="str">
        <x:v>Kết quả lọc</x:v>
      </x:c>
      <x:c r="B33" s="18" t="str">
        <x:v>SV002 – Trần Thị Bình – S002 – 03/10/2026 – Quá hạn – Giải Tích 1.</x:v>
      </x:c>
      <x:c r="C33" s="18"/>
      <x:c r="D33" s="18"/>
      <x:c r="E33" s="18"/>
      <x:c r="F33" s="18"/>
    </x:row>
    <x:row r="34" ht="24" customHeight="1">
      <x:c r="A34" s="17" t="str">
        <x:v>VLOOKUP gốc tại F2</x:v>
      </x:c>
      <x:c r="B34" s="18"/>
      <x:c r="C34" s="18"/>
      <x:c r="D34" s="18"/>
      <x:c r="E34" s="18"/>
      <x:c r="F34" s="18"/>
    </x:row>
    <x:row r="35" ht="24" customHeight="1">
      <x:c r="A35" s="19" t="str">
        <x:v>=VLOOKUP(C2,'DanhMucSach'!$A$2:$C$4,2,FALSE)</x:v>
      </x:c>
      <x:c r="B35" s="19"/>
      <x:c r="C35" s="19"/>
      <x:c r="D35" s="19"/>
      <x:c r="E35" s="19"/>
      <x:c r="F35" s="19"/>
    </x:row>
    <x:row r="36" ht="24" customHeight="1">
      <x:c r="A36" s="17" t="str">
        <x:v>Công thức IFERROR tại F2, sao chép xuống F5</x:v>
      </x:c>
      <x:c r="B36" s="18"/>
      <x:c r="C36" s="18"/>
      <x:c r="D36" s="18"/>
      <x:c r="E36" s="18"/>
      <x:c r="F36" s="18"/>
    </x:row>
    <x:row r="37" ht="24" customHeight="1">
      <x:c r="A37" s="19" t="str">
        <x:v>=IFERROR(VLOOKUP(C2,'DanhMucSach'!$A$2:$C$4,2,FALSE),"Không tìm thấy sách")</x:v>
      </x:c>
      <x:c r="B37" s="19"/>
      <x:c r="C37" s="19"/>
      <x:c r="D37" s="19"/>
      <x:c r="E37" s="19"/>
      <x:c r="F37" s="19"/>
    </x:row>
    <x:row r="38" ht="24" customHeight="1">
      <x:c r="A38" s="18" t="str">
        <x:v>4 tham số</x:v>
      </x:c>
      <x:c r="B38" s="18" t="str">
        <x:v>C2: mã cần tìm; A2:C4: vùng cố định; 2: cột Tên Sách; FALSE: khớp chính xác.</x:v>
      </x:c>
      <x:c r="C38" s="18"/>
      <x:c r="D38" s="18"/>
      <x:c r="E38" s="18"/>
      <x:c r="F38" s="18"/>
    </x:row>
    <x:row r="39" ht="24" customHeight="1">
      <x:c r="A39" s="18" t="str">
        <x:v>Mã S099</x:v>
      </x:c>
      <x:c r="B39" s="18" t="str">
        <x:v>Hàng 5 sau chuẩn hóa (hàng 8 ban đầu): VLOOKUP gốc trả #N/A vì không có mã trong danh mục.</x:v>
      </x:c>
      <x:c r="C39" s="18"/>
      <x:c r="D39" s="18"/>
      <x:c r="E39" s="18"/>
      <x:c r="F39" s="18"/>
    </x:row>
    <x:row r="40" ht="24" customHeight="1">
      <x:c r="A40" s="18" t="str">
        <x:v>Xử lý</x:v>
      </x:c>
      <x:c r="B40" s="18" t="str">
        <x:v>IFERROR hiển thị “Không tìm thấy sách”. Cần đối soát và bổ sung hoặc sửa mã S099.</x:v>
      </x:c>
      <x:c r="C40" s="18"/>
      <x:c r="D40" s="18"/>
      <x:c r="E40" s="18"/>
      <x:c r="F40" s="18"/>
    </x:row>
  </x:sheetData>
  <x:conditionalFormatting sqref="A2:F5">
    <x:cfRule type="expression" dxfId="0" priority="1">
      <x:formula>$E2="Quá hạn"</x:formula>
    </x:cfRule>
  </x:conditionalFormatting>
  <x:conditionalFormatting sqref="F2:F5">
    <x:cfRule type="expression" dxfId="1" priority="2">
      <x:formula>$F2="Không tìm thấy sách"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a6353aa9a9462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</x:cols>
  <x:sheetData>
    <x:row r="1" ht="32" customHeight="1">
      <x:c r="A1" s="5" t="str">
        <x:v>Mã Sách</x:v>
      </x:c>
      <x:c r="B1" s="5" t="str">
        <x:v>Tên Sách</x:v>
      </x:c>
      <x:c r="C1" s="5" t="str">
        <x:v>Thể Loại</x:v>
      </x:c>
    </x:row>
    <x:row r="2" ht="24" customHeight="1">
      <x:c r="A2" s="2" t="str">
        <x:v>S001</x:v>
      </x:c>
      <x:c r="B2" s="2" t="str">
        <x:v>Lập Trình C Căn Bản</x:v>
      </x:c>
      <x:c r="C2" s="2" t="str">
        <x:v>Công nghệ thông tin</x:v>
      </x:c>
    </x:row>
    <x:row r="3" ht="24" customHeight="1">
      <x:c r="A3" s="2" t="str">
        <x:v>S002</x:v>
      </x:c>
      <x:c r="B3" s="2" t="str">
        <x:v>Giải Tích 1</x:v>
      </x:c>
      <x:c r="C3" s="2" t="str">
        <x:v>Toán học</x:v>
      </x:c>
    </x:row>
    <x:row r="4" ht="24" customHeight="1">
      <x:c r="A4" s="2" t="str">
        <x:v>S003</x:v>
      </x:c>
      <x:c r="B4" s="2" t="str">
        <x:v>Kỹ Năng Mềm</x:v>
      </x:c>
      <x:c r="C4" s="2" t="str">
        <x:v>Kỹ năng sống</x:v>
      </x:c>
    </x:row>
    <x:row r="5" ht="24" customHeight="1">
      <x:c r="A5" s="2"/>
      <x:c r="B5" s="2"/>
      <x:c r="C5" s="2"/>
    </x:row>
    <x:row r="6" ht="24" customHeight="1">
      <x:c r="A6" s="2" t="str">
        <x:v>Nguồn: danh mục sách do đề bài cung cấp; giữ nguyên ba mã sách.</x:v>
      </x:c>
      <x:c r="B6" s="2"/>
      <x:c r="C6" s="2"/>
    </x:row>
    <x:row r="7" ht="24" customHeight="1">
      <x:c r="A7" s="2"/>
      <x:c r="B7" s="2"/>
      <x:c r="C7" s="2"/>
    </x:row>
  </x:sheetData>
  <x:pageMargins left="0.7" right="0.7" top="0.75" bottom="0.75" header="0.3" footer="0.3"/>
  <x:tableParts count="1">
    <x:tablePart xmlns:r="http://schemas.openxmlformats.org/officeDocument/2006/relationships" r:id="R177704b7f4094f4f"/>
  </x:tableParts>
</x:worksheet>
</file>